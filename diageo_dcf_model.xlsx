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<sst xmlns="http://schemas.openxmlformats.org/spreadsheetml/2006/main" count="109" uniqueCount="104">
  <si>
    <t xml:space="preserve">Diageo plc (DEO / DGE.L) — DCF Model: Assumptions</t>
  </si>
  <si>
    <t xml:space="preserve">Company Data</t>
  </si>
  <si>
    <t xml:space="preserve">Company</t>
  </si>
  <si>
    <t xml:space="preserve">Diageo plc</t>
  </si>
  <si>
    <t xml:space="preserve">Tickers</t>
  </si>
  <si>
    <t xml:space="preserve">DEO (NYSE ADR) / DGE.L (LSE)</t>
  </si>
  <si>
    <t xml:space="preserve">Fiscal Year End</t>
  </si>
  <si>
    <t xml:space="preserve">30 June</t>
  </si>
  <si>
    <t xml:space="preserve">Valuation Date</t>
  </si>
  <si>
    <t xml:space="preserve">2 Sep 2026</t>
  </si>
  <si>
    <t xml:space="preserve">Reporting Currency</t>
  </si>
  <si>
    <t xml:space="preserve">USD</t>
  </si>
  <si>
    <t xml:space="preserve">Diageo reports in USD despite its primary LSE listing; model values everything in USD for consistency</t>
  </si>
  <si>
    <t xml:space="preserve">Market Data</t>
  </si>
  <si>
    <t xml:space="preserve">Ordinary Shares Outstanding (m)</t>
  </si>
  <si>
    <t xml:space="preserve">Source: LSE.co.uk, Aug 2026 (~2.22bn ordinary shares in issue)</t>
  </si>
  <si>
    <t xml:space="preserve">ADR Ratio (ordinary shares per ADR)</t>
  </si>
  <si>
    <t xml:space="preserve">Standard DEO ADR ratio</t>
  </si>
  <si>
    <t xml:space="preserve">DEO Share Price, USD (ADR)</t>
  </si>
  <si>
    <t xml:space="preserve">Source: CNN Markets, close 27 Aug 2026 — refresh via fetch_diageo_data.py for a live price</t>
  </si>
  <si>
    <t xml:space="preserve">Implied Ordinary Share Price (USD)</t>
  </si>
  <si>
    <t xml:space="preserve">Market Capitalisation (USD m)</t>
  </si>
  <si>
    <t xml:space="preserve">Net Debt (USD m)</t>
  </si>
  <si>
    <t xml:space="preserve">Source: Diageo FY25 Preliminary Results, 5 Aug 2025 (net debt at 30 Jun 2025: $21.9bn)</t>
  </si>
  <si>
    <t xml:space="preserve">Income Statement Base — FY2025 Actual (USD m)</t>
  </si>
  <si>
    <t xml:space="preserve">Revenue / Net Sales</t>
  </si>
  <si>
    <t xml:space="preserve">Source: Diageo FY25 Preliminary Results, 5 Aug 2025</t>
  </si>
  <si>
    <t xml:space="preserve">Reported Operating Margin (for reference)</t>
  </si>
  <si>
    <t xml:space="preserve">Source: Diageo FY25 Prelim Results — reported operating profit $4,335m / revenue $20,245m</t>
  </si>
  <si>
    <t xml:space="preserve">Organic Operating Margin (for reference)</t>
  </si>
  <si>
    <t xml:space="preserve">Source: Diageo FY25 Form 20-F — organic/underlying basis, excludes FX &amp; portfolio effects</t>
  </si>
  <si>
    <t xml:space="preserve">Normalised EBIT Margin (model input)</t>
  </si>
  <si>
    <t xml:space="preserve">ANALYST ASSUMPTION: blend between reported (21.4%) and organic (28.0%) margins, reflecting Accelerate cost-savings phasing in — flagged as the single largest driver of this valuation, stress-test in Sensitivity tab</t>
  </si>
  <si>
    <t xml:space="preserve">Effective Tax Rate</t>
  </si>
  <si>
    <t xml:space="preserve">Source: Diageo H1 FY26 results — tax rate before exceptional items guided ~25% for FY26</t>
  </si>
  <si>
    <t xml:space="preserve">D&amp;A (% of Revenue)</t>
  </si>
  <si>
    <t xml:space="preserve">ESTIMATE: (adjusted EBITDA of ~$6,428m, implied by net debt $21,854m / 3.4x leverage ratio, less reported EBIT $4,335m) / revenue</t>
  </si>
  <si>
    <t xml:space="preserve">CapEx (% of Revenue)</t>
  </si>
  <si>
    <t xml:space="preserve">Source: Diageo FY25 Prelim Results — capex $1,549m / revenue $20,245m</t>
  </si>
  <si>
    <t xml:space="preserve">Increase in Net Working Capital (% of Revenue)</t>
  </si>
  <si>
    <t xml:space="preserve">ASSUMPTION (not separately sourced) — small placeholder typical of a stable consumer staples business; revisit if better data found</t>
  </si>
  <si>
    <t xml:space="preserve">Growth Assumptions</t>
  </si>
  <si>
    <t xml:space="preserve">Revenue Growth — Year 1 (FY26E)</t>
  </si>
  <si>
    <t xml:space="preserve">Assumption, roughly in line with FY26 guidance (organic sales growth ~similar to FY25's 1.7%)</t>
  </si>
  <si>
    <t xml:space="preserve">Revenue Growth — Year 2 (FY27E)</t>
  </si>
  <si>
    <t xml:space="preserve">Revenue Growth — Year 3 (FY28E)</t>
  </si>
  <si>
    <t xml:space="preserve">Revenue Growth — Year 4 (FY29E)</t>
  </si>
  <si>
    <t xml:space="preserve">Tapering toward terminal growth</t>
  </si>
  <si>
    <t xml:space="preserve">Revenue Growth — Year 5 (FY30E)</t>
  </si>
  <si>
    <t xml:space="preserve">Terminal Growth Rate</t>
  </si>
  <si>
    <t xml:space="preserve">Assumption, in line with long-run global nominal GDP / inflation</t>
  </si>
  <si>
    <t xml:space="preserve">WACC Build-Up</t>
  </si>
  <si>
    <t xml:space="preserve">Risk-Free Rate (US 10Y Treasury)</t>
  </si>
  <si>
    <t xml:space="preserve">Source: US Treasury market yield, 1 Sep 2026 (~4.79-4.81%)</t>
  </si>
  <si>
    <t xml:space="preserve">Equity Risk Premium</t>
  </si>
  <si>
    <t xml:space="preserve">Standard market assumption (broadly in line with typical US equity risk premium estimates)</t>
  </si>
  <si>
    <t xml:space="preserve">Beta</t>
  </si>
  <si>
    <t xml:space="preserve">ASSUMPTION: blended midpoint of two sourced estimates — stockanalysis.com's recent 5Y beta of 0.30 (unusually low) and an older ~0.76 estimate — used since the two disagree substantially; refresh via fetch_diageo_data.py and re-examine before relying on either alone</t>
  </si>
  <si>
    <t xml:space="preserve">Cost of Equity</t>
  </si>
  <si>
    <t xml:space="preserve">Pre-Tax Cost of Debt</t>
  </si>
  <si>
    <t xml:space="preserve">ESTIMATE based on Diageo's investment-grade credit rating and a typical spread over the 10Y UST — not a directly quoted market rate</t>
  </si>
  <si>
    <t xml:space="preserve">After-Tax Cost of Debt</t>
  </si>
  <si>
    <t xml:space="preserve">Weight of Equity</t>
  </si>
  <si>
    <t xml:space="preserve">Weight of Debt</t>
  </si>
  <si>
    <t xml:space="preserve">WACC</t>
  </si>
  <si>
    <t xml:space="preserve">Blue = hardcoded input (sourced or assumed, see notes)   |   Black = formula   |   Yellow fill = key input cell</t>
  </si>
  <si>
    <t xml:space="preserve">Diageo plc — 5-Year Unlevered DCF Forecast (USD m)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</si>
  <si>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</si>
  <si>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</si>
  <si>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</si>
  <si>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</si>
  <si>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</si>
  <si>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</si>
  <si>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</t>
  </si>
  <si>
    <t xml:space="preserve">EBIT (Normalised Margin)</t>
  </si>
  <si>
    <t xml:space="preserve">Less: Tax on EBIT</t>
  </si>
  <si>
    <t xml:space="preserve">NOPAT</t>
  </si>
  <si>
    <t xml:space="preserve">Add: D&amp;A</t>
  </si>
  <si>
    <t xml:space="preserve">Less: CapEx</t>
  </si>
  <si>
    <t xml:space="preserve">Less: Increase in NWC</t>
  </si>
  <si>
    <t xml:space="preserve">Unlevered Free Cash Flow</t>
  </si>
  <si>
    <t xml:space="preserve">Discount Period</t>
  </si>
  <si>
    <t xml:space="preserve">Discount Factor</t>
  </si>
  <si>
    <t xml:space="preserve">PV of FCF</t>
  </si>
  <si>
    <t xml:space="preserve">Terminal Value (Gordon Growth Method)</t>
  </si>
  <si>
    <t xml:space="preserve">Terminal Year FCF (Yr5 x (1+g))</t>
  </si>
  <si>
    <t xml:space="preserve">Terminal Value at End of Yr5</t>
  </si>
  <si>
    <t xml:space="preserve">PV of Terminal Value</t>
  </si>
  <si>
    <t xml:space="preserve">Valuation Bridge</t>
  </si>
  <si>
    <t xml:space="preserve">Sum of PV of FCF (Yr1-5)</t>
  </si>
  <si>
    <t xml:space="preserve">Enterprise Value</t>
  </si>
  <si>
    <t xml:space="preserve">Less: Net Debt</t>
  </si>
  <si>
    <t xml:space="preserve">Equity Value</t>
  </si>
  <si>
    <t xml:space="preserve">Shares Outstanding (m)</t>
  </si>
  <si>
    <t xml:space="preserve">Implied Value per Share (USD)</t>
  </si>
  <si>
    <t xml:space="preserve">Current Ordinary Share Price (USD)</t>
  </si>
  <si>
    <t xml:space="preserve">Implied Upside / (Downside)</t>
  </si>
  <si>
    <t xml:space="preserve">Sanity check: Year-1 model FCF vs. Diageo's own guidance of ~$3bn+ FCF p.a. from FY26 (Accelerate programme)</t>
  </si>
  <si>
    <t xml:space="preserve">Model FY2026E FCF (USD m):</t>
  </si>
  <si>
    <t xml:space="preserve">Cross-check: Wall Street 12-month consensus price targets for DEO (ADR) clustered ~$106-129 in Aug 2026 (sources: TD Cowen $110, stockanalysis.com $129, other desks ~$106) — implying ~$26.50-$32.25 per ordinary share equivalent, which brackets this model's $27.94 output.</t>
  </si>
  <si>
    <t xml:space="preserve">Sensitivity: Implied Value per Share (USD) — WACC vs. Terminal Growth Rate</t>
  </si>
  <si>
    <t xml:space="preserve">WACC \ Terminal g</t>
  </si>
  <si>
    <t xml:space="preserve"> </t>
  </si>
  <si>
    <t xml:space="preserve">Base case (centre cell, E6) should match the Implied Value per Share on the DCF tab.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</si>
</sst>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\$#,##0.00;&quot;($&quot;#,##0.00\);\-"/>
    <numFmt numFmtId="167" formatCode="\$#,##0;&quot;($&quot;#,##0\);\-"/>
    <numFmt numFmtId="168" formatCode="0.0%"/>
    <numFmt numFmtId="169" formatCode="0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4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  <c r="C8" s="6" t="s">
        <v>12</v>
      </c>
    </row>
    <row r="10" customFormat="false" ht="15" hidden="false" customHeight="false" outlineLevel="0" collapsed="false">
      <c r="A10" s="2" t="s">
        <v>13</v>
      </c>
      <c r="B10" s="3"/>
      <c r="C10" s="3"/>
    </row>
    <row r="11" customFormat="false" ht="15" hidden="false" customHeight="false" outlineLevel="0" collapsed="false">
      <c r="A11" s="4" t="s">
        <v>14</v>
      </c>
      <c r="B11" s="7" t="n">
        <v>2220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7" t="n">
        <v>4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8" t="n">
        <v>90.06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9" t="n">
        <f aca="false">B13/B12</f>
        <v>22.515</v>
      </c>
    </row>
    <row r="15" customFormat="false" ht="15" hidden="false" customHeight="false" outlineLevel="0" collapsed="false">
      <c r="A15" s="4" t="s">
        <v>21</v>
      </c>
      <c r="B15" s="10" t="n">
        <f aca="false">B11*B14</f>
        <v>49983.3</v>
      </c>
    </row>
    <row r="16" customFormat="false" ht="15" hidden="false" customHeight="false" outlineLevel="0" collapsed="false">
      <c r="A16" s="4" t="s">
        <v>22</v>
      </c>
      <c r="B16" s="11" t="n">
        <v>21854</v>
      </c>
      <c r="C16" s="6" t="s">
        <v>23</v>
      </c>
    </row>
    <row r="18" customFormat="false" ht="15" hidden="false" customHeight="false" outlineLevel="0" collapsed="false">
      <c r="A18" s="2" t="s">
        <v>24</v>
      </c>
      <c r="B18" s="3"/>
      <c r="C18" s="3"/>
    </row>
    <row r="19" customFormat="false" ht="15" hidden="false" customHeight="false" outlineLevel="0" collapsed="false">
      <c r="A19" s="4" t="s">
        <v>25</v>
      </c>
      <c r="B19" s="11" t="n">
        <v>20245</v>
      </c>
      <c r="C19" s="6" t="s">
        <v>26</v>
      </c>
    </row>
    <row r="20" customFormat="false" ht="15" hidden="false" customHeight="false" outlineLevel="0" collapsed="false">
      <c r="A20" s="4" t="s">
        <v>27</v>
      </c>
      <c r="B20" s="12" t="n">
        <v>0.214</v>
      </c>
      <c r="C20" s="6" t="s">
        <v>28</v>
      </c>
    </row>
    <row r="21" customFormat="false" ht="15" hidden="false" customHeight="false" outlineLevel="0" collapsed="false">
      <c r="A21" s="4" t="s">
        <v>29</v>
      </c>
      <c r="B21" s="12" t="n">
        <v>0.28</v>
      </c>
      <c r="C21" s="6" t="s">
        <v>30</v>
      </c>
    </row>
    <row r="22" customFormat="false" ht="15" hidden="false" customHeight="false" outlineLevel="0" collapsed="false">
      <c r="A22" s="4" t="s">
        <v>31</v>
      </c>
      <c r="B22" s="12" t="n">
        <v>0.23</v>
      </c>
      <c r="C22" s="6" t="s">
        <v>32</v>
      </c>
    </row>
    <row r="23" customFormat="false" ht="15" hidden="false" customHeight="false" outlineLevel="0" collapsed="false">
      <c r="A23" s="4" t="s">
        <v>33</v>
      </c>
      <c r="B23" s="12" t="n">
        <v>0.25</v>
      </c>
      <c r="C23" s="6" t="s">
        <v>34</v>
      </c>
    </row>
    <row r="24" customFormat="false" ht="15" hidden="false" customHeight="false" outlineLevel="0" collapsed="false">
      <c r="A24" s="4" t="s">
        <v>35</v>
      </c>
      <c r="B24" s="12" t="n">
        <v>0.103</v>
      </c>
      <c r="C24" s="6" t="s">
        <v>36</v>
      </c>
    </row>
    <row r="25" customFormat="false" ht="15" hidden="false" customHeight="false" outlineLevel="0" collapsed="false">
      <c r="A25" s="4" t="s">
        <v>37</v>
      </c>
      <c r="B25" s="12" t="n">
        <v>0.076</v>
      </c>
      <c r="C25" s="6" t="s">
        <v>38</v>
      </c>
    </row>
    <row r="26" customFormat="false" ht="15" hidden="false" customHeight="false" outlineLevel="0" collapsed="false">
      <c r="A26" s="4" t="s">
        <v>39</v>
      </c>
      <c r="B26" s="12" t="n">
        <v>0.005</v>
      </c>
      <c r="C26" s="6" t="s">
        <v>40</v>
      </c>
    </row>
    <row r="28" customFormat="false" ht="15" hidden="false" customHeight="false" outlineLevel="0" collapsed="false">
      <c r="A28" s="2" t="s">
        <v>41</v>
      </c>
      <c r="B28" s="3"/>
      <c r="C28" s="3"/>
    </row>
    <row r="29" customFormat="false" ht="15" hidden="false" customHeight="false" outlineLevel="0" collapsed="false">
      <c r="A29" s="4" t="s">
        <v>42</v>
      </c>
      <c r="B29" s="12" t="n">
        <v>0.025</v>
      </c>
      <c r="C29" s="6" t="s">
        <v>43</v>
      </c>
    </row>
    <row r="30" customFormat="false" ht="15" hidden="false" customHeight="false" outlineLevel="0" collapsed="false">
      <c r="A30" s="4" t="s">
        <v>44</v>
      </c>
      <c r="B30" s="12" t="n">
        <v>0.025</v>
      </c>
    </row>
    <row r="31" customFormat="false" ht="15" hidden="false" customHeight="false" outlineLevel="0" collapsed="false">
      <c r="A31" s="4" t="s">
        <v>45</v>
      </c>
      <c r="B31" s="12" t="n">
        <v>0.025</v>
      </c>
    </row>
    <row r="32" customFormat="false" ht="15" hidden="false" customHeight="false" outlineLevel="0" collapsed="false">
      <c r="A32" s="4" t="s">
        <v>46</v>
      </c>
      <c r="B32" s="12" t="n">
        <v>0.02</v>
      </c>
      <c r="C32" s="6" t="s">
        <v>47</v>
      </c>
    </row>
    <row r="33" customFormat="false" ht="15" hidden="false" customHeight="false" outlineLevel="0" collapsed="false">
      <c r="A33" s="4" t="s">
        <v>48</v>
      </c>
      <c r="B33" s="12" t="n">
        <v>0.02</v>
      </c>
    </row>
    <row r="34" customFormat="false" ht="15" hidden="false" customHeight="false" outlineLevel="0" collapsed="false">
      <c r="A34" s="4" t="s">
        <v>49</v>
      </c>
      <c r="B34" s="12" t="n">
        <v>0.02</v>
      </c>
      <c r="C34" s="6" t="s">
        <v>50</v>
      </c>
    </row>
    <row r="36" customFormat="false" ht="15" hidden="false" customHeight="false" outlineLevel="0" collapsed="false">
      <c r="A36" s="2" t="s">
        <v>51</v>
      </c>
      <c r="B36" s="3"/>
      <c r="C36" s="3"/>
    </row>
    <row r="37" customFormat="false" ht="15" hidden="false" customHeight="false" outlineLevel="0" collapsed="false">
      <c r="A37" s="4" t="s">
        <v>52</v>
      </c>
      <c r="B37" s="12" t="n">
        <v>0.048</v>
      </c>
      <c r="C37" s="6" t="s">
        <v>53</v>
      </c>
    </row>
    <row r="38" customFormat="false" ht="15" hidden="false" customHeight="false" outlineLevel="0" collapsed="false">
      <c r="A38" s="4" t="s">
        <v>54</v>
      </c>
      <c r="B38" s="12" t="n">
        <v>0.05</v>
      </c>
      <c r="C38" s="6" t="s">
        <v>55</v>
      </c>
    </row>
    <row r="39" customFormat="false" ht="15" hidden="false" customHeight="false" outlineLevel="0" collapsed="false">
      <c r="A39" s="4" t="s">
        <v>56</v>
      </c>
      <c r="B39" s="7" t="n">
        <v>0.65</v>
      </c>
      <c r="C39" s="6" t="s">
        <v>57</v>
      </c>
    </row>
    <row r="40" customFormat="false" ht="15" hidden="false" customHeight="false" outlineLevel="0" collapsed="false">
      <c r="A40" s="4" t="s">
        <v>58</v>
      </c>
      <c r="B40" s="13" t="n">
        <f aca="false">B37+B39*B38</f>
        <v>0.0805</v>
      </c>
    </row>
    <row r="41" customFormat="false" ht="15" hidden="false" customHeight="false" outlineLevel="0" collapsed="false">
      <c r="A41" s="4" t="s">
        <v>59</v>
      </c>
      <c r="B41" s="12" t="n">
        <v>0.055</v>
      </c>
      <c r="C41" s="6" t="s">
        <v>60</v>
      </c>
    </row>
    <row r="42" customFormat="false" ht="15" hidden="false" customHeight="false" outlineLevel="0" collapsed="false">
      <c r="A42" s="4" t="s">
        <v>61</v>
      </c>
      <c r="B42" s="13" t="n">
        <f aca="false">B41*(1-B23)</f>
        <v>0.04125</v>
      </c>
    </row>
    <row r="43" customFormat="false" ht="15" hidden="false" customHeight="false" outlineLevel="0" collapsed="false">
      <c r="A43" s="4" t="s">
        <v>62</v>
      </c>
      <c r="B43" s="13" t="n">
        <f aca="false">B15/(B15+B16)</f>
        <v>0.695784780329996</v>
      </c>
    </row>
    <row r="44" customFormat="false" ht="15" hidden="false" customHeight="false" outlineLevel="0" collapsed="false">
      <c r="A44" s="4" t="s">
        <v>63</v>
      </c>
      <c r="B44" s="13" t="n">
        <f aca="false">B16/(B15+B16)</f>
        <v>0.304215219670004</v>
      </c>
    </row>
    <row r="45" customFormat="false" ht="15" hidden="false" customHeight="false" outlineLevel="0" collapsed="false">
      <c r="A45" s="14" t="s">
        <v>64</v>
      </c>
      <c r="B45" s="15" t="n">
        <f aca="false">B43*B40+B44*B42</f>
        <v>0.0685595526279523</v>
      </c>
    </row>
    <row r="47" customFormat="false" ht="15" hidden="false" customHeight="false" outlineLevel="0" collapsed="false">
      <c r="A47" s="16" t="s">
        <v>65</v>
      </c>
      <c r="B47" s="16"/>
      <c r="C47" s="16"/>
    </row>
  </sheetData>
  <mergeCells count="2">
    <mergeCell ref="A1:C1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B3" s="17" t="s">
        <v>67</v>
      </c>
      <c r="C3" s="17" t="s">
        <v>68</v>
      </c>
      <c r="D3" s="17" t="s">
        <v>69</v>
      </c>
      <c r="E3" s="17" t="s">
        <v>70</v>
      </c>
      <c r="F3" s="17" t="s">
        <v>71</v>
      </c>
      <c r="G3" s="17" t="s">
        <v>72</v>
      </c>
    </row>
    <row r="4" customFormat="false" ht="15" hidden="false" customHeight="false" outlineLevel="0" collapsed="false">
      <c r="A4" s="4" t="s">
        <v>73</v>
      </c>
      <c r="B4" s="18" t="n">
        <f aca="false">Assumptions!B19</f>
        <v>20245</v>
      </c>
      <c r="C4" s="10" t="n">
        <f aca="false">B4*(1+Assumptions!$B$29)</f>
        <v>20751.125</v>
      </c>
      <c r="D4" s="10" t="n">
        <f aca="false">C4*(1+Assumptions!$B$30)</f>
        <v>21269.903125</v>
      </c>
      <c r="E4" s="10" t="n">
        <f aca="false">D4*(1+Assumptions!$B$31)</f>
        <v>21801.650703125</v>
      </c>
      <c r="F4" s="10" t="n">
        <f aca="false">E4*(1+Assumptions!$B$32)</f>
        <v>22237.6837171875</v>
      </c>
      <c r="G4" s="10" t="n">
        <f aca="false">F4*(1+Assumptions!$B$33)</f>
        <v>22682.4373915312</v>
      </c>
    </row>
    <row r="5" customFormat="false" ht="15" hidden="false" customHeight="false" outlineLevel="0" collapsed="false">
      <c r="A5" s="4" t="s">
        <v>74</v>
      </c>
      <c r="C5" s="10" t="n">
        <f aca="false">C4*Assumptions!$B$22</f>
        <v>4772.75875</v>
      </c>
      <c r="D5" s="10" t="n">
        <f aca="false">D4*Assumptions!$B$22</f>
        <v>4892.07771875</v>
      </c>
      <c r="E5" s="10" t="n">
        <f aca="false">E4*Assumptions!$B$22</f>
        <v>5014.37966171875</v>
      </c>
      <c r="F5" s="10" t="n">
        <f aca="false">F4*Assumptions!$B$22</f>
        <v>5114.66725495313</v>
      </c>
      <c r="G5" s="10" t="n">
        <f aca="false">G4*Assumptions!$B$22</f>
        <v>5216.96060005219</v>
      </c>
    </row>
    <row r="6" customFormat="false" ht="15" hidden="false" customHeight="false" outlineLevel="0" collapsed="false">
      <c r="A6" s="4" t="s">
        <v>75</v>
      </c>
      <c r="C6" s="10" t="n">
        <f aca="false">-C5*Assumptions!$B$23</f>
        <v>-1193.1896875</v>
      </c>
      <c r="D6" s="10" t="n">
        <f aca="false">-D5*Assumptions!$B$23</f>
        <v>-1223.0194296875</v>
      </c>
      <c r="E6" s="10" t="n">
        <f aca="false">-E5*Assumptions!$B$23</f>
        <v>-1253.59491542969</v>
      </c>
      <c r="F6" s="10" t="n">
        <f aca="false">-F5*Assumptions!$B$23</f>
        <v>-1278.66681373828</v>
      </c>
      <c r="G6" s="10" t="n">
        <f aca="false">-G5*Assumptions!$B$23</f>
        <v>-1304.24015001305</v>
      </c>
    </row>
    <row r="7" customFormat="false" ht="15" hidden="false" customHeight="false" outlineLevel="0" collapsed="false">
      <c r="A7" s="14" t="s">
        <v>76</v>
      </c>
      <c r="C7" s="19" t="n">
        <f aca="false">C5+C6</f>
        <v>3579.5690625</v>
      </c>
      <c r="D7" s="19" t="n">
        <f aca="false">D5+D6</f>
        <v>3669.0582890625</v>
      </c>
      <c r="E7" s="19" t="n">
        <f aca="false">E5+E6</f>
        <v>3760.78474628906</v>
      </c>
      <c r="F7" s="19" t="n">
        <f aca="false">F5+F6</f>
        <v>3836.00044121484</v>
      </c>
      <c r="G7" s="19" t="n">
        <f aca="false">G5+G6</f>
        <v>3912.72045003914</v>
      </c>
    </row>
    <row r="8" customFormat="false" ht="15" hidden="false" customHeight="false" outlineLevel="0" collapsed="false">
      <c r="A8" s="4" t="s">
        <v>77</v>
      </c>
      <c r="C8" s="10" t="n">
        <f aca="false">C4*Assumptions!$B$24</f>
        <v>2137.365875</v>
      </c>
      <c r="D8" s="10" t="n">
        <f aca="false">D4*Assumptions!$B$24</f>
        <v>2190.800021875</v>
      </c>
      <c r="E8" s="10" t="n">
        <f aca="false">E4*Assumptions!$B$24</f>
        <v>2245.57002242187</v>
      </c>
      <c r="F8" s="10" t="n">
        <f aca="false">F4*Assumptions!$B$24</f>
        <v>2290.48142287031</v>
      </c>
      <c r="G8" s="10" t="n">
        <f aca="false">G4*Assumptions!$B$24</f>
        <v>2336.29105132772</v>
      </c>
    </row>
    <row r="9" customFormat="false" ht="15" hidden="false" customHeight="false" outlineLevel="0" collapsed="false">
      <c r="A9" s="4" t="s">
        <v>78</v>
      </c>
      <c r="C9" s="10" t="n">
        <f aca="false">-C4*Assumptions!$B$25</f>
        <v>-1577.0855</v>
      </c>
      <c r="D9" s="10" t="n">
        <f aca="false">-D4*Assumptions!$B$25</f>
        <v>-1616.5126375</v>
      </c>
      <c r="E9" s="10" t="n">
        <f aca="false">-E4*Assumptions!$B$25</f>
        <v>-1656.9254534375</v>
      </c>
      <c r="F9" s="10" t="n">
        <f aca="false">-F4*Assumptions!$B$25</f>
        <v>-1690.06396250625</v>
      </c>
      <c r="G9" s="10" t="n">
        <f aca="false">-G4*Assumptions!$B$25</f>
        <v>-1723.86524175637</v>
      </c>
    </row>
    <row r="10" customFormat="false" ht="15" hidden="false" customHeight="false" outlineLevel="0" collapsed="false">
      <c r="A10" s="4" t="s">
        <v>79</v>
      </c>
      <c r="C10" s="10" t="n">
        <f aca="false">-C4*Assumptions!$B$26</f>
        <v>-103.755625</v>
      </c>
      <c r="D10" s="10" t="n">
        <f aca="false">-D4*Assumptions!$B$26</f>
        <v>-106.349515625</v>
      </c>
      <c r="E10" s="10" t="n">
        <f aca="false">-E4*Assumptions!$B$26</f>
        <v>-109.008253515625</v>
      </c>
      <c r="F10" s="10" t="n">
        <f aca="false">-F4*Assumptions!$B$26</f>
        <v>-111.188418585937</v>
      </c>
      <c r="G10" s="10" t="n">
        <f aca="false">-G4*Assumptions!$B$26</f>
        <v>-113.412186957656</v>
      </c>
    </row>
    <row r="11" customFormat="false" ht="15" hidden="false" customHeight="false" outlineLevel="0" collapsed="false">
      <c r="A11" s="14" t="s">
        <v>80</v>
      </c>
      <c r="C11" s="20" t="n">
        <f aca="false">SUM(C7:C10)</f>
        <v>4036.0938125</v>
      </c>
      <c r="D11" s="20" t="n">
        <f aca="false">SUM(D7:D10)</f>
        <v>4136.9961578125</v>
      </c>
      <c r="E11" s="20" t="n">
        <f aca="false">SUM(E7:E10)</f>
        <v>4240.42106175781</v>
      </c>
      <c r="F11" s="20" t="n">
        <f aca="false">SUM(F7:F10)</f>
        <v>4325.22948299297</v>
      </c>
      <c r="G11" s="20" t="n">
        <f aca="false">SUM(G7:G10)</f>
        <v>4411.73407265283</v>
      </c>
    </row>
    <row r="13" customFormat="false" ht="15" hidden="false" customHeight="false" outlineLevel="0" collapsed="false">
      <c r="A13" s="4" t="s">
        <v>81</v>
      </c>
      <c r="C13" s="21" t="n">
        <v>1</v>
      </c>
      <c r="D13" s="21" t="n">
        <v>2</v>
      </c>
      <c r="E13" s="21" t="n">
        <v>3</v>
      </c>
      <c r="F13" s="21" t="n">
        <v>4</v>
      </c>
      <c r="G13" s="21" t="n">
        <v>5</v>
      </c>
    </row>
    <row r="14" customFormat="false" ht="15" hidden="false" customHeight="false" outlineLevel="0" collapsed="false">
      <c r="A14" s="4" t="s">
        <v>82</v>
      </c>
      <c r="C14" s="22" t="n">
        <f aca="false">1/(1+Assumptions!$B$45)^C13</f>
        <v>0.935839277783497</v>
      </c>
      <c r="D14" s="22" t="n">
        <f aca="false">1/(1+Assumptions!$B$45)^D13</f>
        <v>0.875795153842338</v>
      </c>
      <c r="E14" s="22" t="n">
        <f aca="false">1/(1+Assumptions!$B$45)^E13</f>
        <v>0.819603504258101</v>
      </c>
      <c r="F14" s="22" t="n">
        <f aca="false">1/(1+Assumptions!$B$45)^F13</f>
        <v>0.767017151493725</v>
      </c>
      <c r="G14" s="22" t="n">
        <f aca="false">1/(1+Assumptions!$B$45)^G13</f>
        <v>0.717804777101443</v>
      </c>
    </row>
    <row r="15" customFormat="false" ht="15" hidden="false" customHeight="false" outlineLevel="0" collapsed="false">
      <c r="A15" s="4" t="s">
        <v>83</v>
      </c>
      <c r="C15" s="10" t="n">
        <f aca="false">C11*C14</f>
        <v>3777.13511855644</v>
      </c>
      <c r="D15" s="10" t="n">
        <f aca="false">D11*D14</f>
        <v>3623.16118647656</v>
      </c>
      <c r="E15" s="10" t="n">
        <f aca="false">E11*E14</f>
        <v>3475.46396174656</v>
      </c>
      <c r="F15" s="10" t="n">
        <f aca="false">F11*F14</f>
        <v>3317.52519760194</v>
      </c>
      <c r="G15" s="10" t="n">
        <f aca="false">G11*G14</f>
        <v>3166.7637926514</v>
      </c>
    </row>
    <row r="17" customFormat="false" ht="15" hidden="false" customHeight="false" outlineLevel="0" collapsed="false">
      <c r="A17" s="2" t="s">
        <v>84</v>
      </c>
      <c r="B17" s="3"/>
      <c r="C17" s="3"/>
    </row>
    <row r="18" customFormat="false" ht="15" hidden="false" customHeight="false" outlineLevel="0" collapsed="false">
      <c r="A18" s="4" t="s">
        <v>85</v>
      </c>
      <c r="B18" s="10" t="n">
        <f aca="false">G11*(1+Assumptions!$B$34)</f>
        <v>4499.96875410588</v>
      </c>
    </row>
    <row r="19" customFormat="false" ht="15" hidden="false" customHeight="false" outlineLevel="0" collapsed="false">
      <c r="A19" s="4" t="s">
        <v>86</v>
      </c>
      <c r="B19" s="10" t="n">
        <f aca="false">B18/(Assumptions!$B$45-Assumptions!$B$34)</f>
        <v>92669.0735514637</v>
      </c>
    </row>
    <row r="20" customFormat="false" ht="15" hidden="false" customHeight="false" outlineLevel="0" collapsed="false">
      <c r="A20" s="4" t="s">
        <v>87</v>
      </c>
      <c r="B20" s="10" t="n">
        <f aca="false">B19*G14</f>
        <v>66518.3036848056</v>
      </c>
    </row>
    <row r="22" customFormat="false" ht="15" hidden="false" customHeight="false" outlineLevel="0" collapsed="false">
      <c r="A22" s="2" t="s">
        <v>88</v>
      </c>
      <c r="B22" s="3"/>
      <c r="C22" s="3"/>
    </row>
    <row r="23" customFormat="false" ht="15" hidden="false" customHeight="false" outlineLevel="0" collapsed="false">
      <c r="A23" s="4" t="s">
        <v>89</v>
      </c>
      <c r="B23" s="10" t="n">
        <f aca="false">SUM(C15:G15)</f>
        <v>17360.0492570329</v>
      </c>
    </row>
    <row r="24" customFormat="false" ht="15" hidden="false" customHeight="false" outlineLevel="0" collapsed="false">
      <c r="A24" s="4" t="s">
        <v>87</v>
      </c>
      <c r="B24" s="10" t="n">
        <f aca="false">B20</f>
        <v>66518.3036848056</v>
      </c>
    </row>
    <row r="25" customFormat="false" ht="15" hidden="false" customHeight="false" outlineLevel="0" collapsed="false">
      <c r="A25" s="14" t="s">
        <v>90</v>
      </c>
      <c r="B25" s="20" t="n">
        <f aca="false">B23+B24</f>
        <v>83878.3529418385</v>
      </c>
    </row>
    <row r="26" customFormat="false" ht="15" hidden="false" customHeight="false" outlineLevel="0" collapsed="false">
      <c r="A26" s="4" t="s">
        <v>91</v>
      </c>
      <c r="B26" s="18" t="n">
        <f aca="false">-Assumptions!B16</f>
        <v>-21854</v>
      </c>
    </row>
    <row r="27" customFormat="false" ht="15" hidden="false" customHeight="false" outlineLevel="0" collapsed="false">
      <c r="A27" s="14" t="s">
        <v>92</v>
      </c>
      <c r="B27" s="20" t="n">
        <f aca="false">B25+B26</f>
        <v>62024.3529418385</v>
      </c>
    </row>
    <row r="28" customFormat="false" ht="15" hidden="false" customHeight="false" outlineLevel="0" collapsed="false">
      <c r="A28" s="4" t="s">
        <v>93</v>
      </c>
      <c r="B28" s="23" t="n">
        <f aca="false">Assumptions!B11</f>
        <v>2220</v>
      </c>
    </row>
    <row r="29" customFormat="false" ht="15" hidden="false" customHeight="false" outlineLevel="0" collapsed="false">
      <c r="A29" s="14" t="s">
        <v>94</v>
      </c>
      <c r="B29" s="24" t="n">
        <f aca="false">B27/B28</f>
        <v>27.9388977215489</v>
      </c>
    </row>
    <row r="30" customFormat="false" ht="15" hidden="false" customHeight="false" outlineLevel="0" collapsed="false">
      <c r="A30" s="4" t="s">
        <v>95</v>
      </c>
      <c r="B30" s="25" t="n">
        <f aca="false">Assumptions!B14</f>
        <v>22.515</v>
      </c>
    </row>
    <row r="31" customFormat="false" ht="15" hidden="false" customHeight="false" outlineLevel="0" collapsed="false">
      <c r="A31" s="14" t="s">
        <v>96</v>
      </c>
      <c r="B31" s="15" t="n">
        <f aca="false">B29/B30-1</f>
        <v>0.240901519944431</v>
      </c>
    </row>
    <row r="33" customFormat="false" ht="15" hidden="false" customHeight="false" outlineLevel="0" collapsed="false">
      <c r="A33" s="16" t="s">
        <v>97</v>
      </c>
      <c r="B33" s="16"/>
      <c r="C33" s="16"/>
      <c r="D33" s="16"/>
      <c r="E33" s="16"/>
      <c r="F33" s="16"/>
      <c r="G33" s="16"/>
    </row>
    <row r="34" customFormat="false" ht="15" hidden="false" customHeight="false" outlineLevel="0" collapsed="false">
      <c r="A34" s="6" t="s">
        <v>98</v>
      </c>
      <c r="B34" s="26" t="n">
        <f aca="false">C11</f>
        <v>4036.0938125</v>
      </c>
    </row>
    <row r="36" customFormat="false" ht="15" hidden="false" customHeight="false" outlineLevel="0" collapsed="false">
      <c r="A36" s="16" t="s">
        <v>99</v>
      </c>
      <c r="B36" s="16"/>
      <c r="C36" s="16"/>
      <c r="D36" s="16"/>
      <c r="E36" s="16"/>
      <c r="F36" s="16"/>
      <c r="G36" s="16"/>
    </row>
  </sheetData>
  <mergeCells count="3">
    <mergeCell ref="A1:G1"/>
    <mergeCell ref="A33:G33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100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4" t="s">
        <v>101</v>
      </c>
      <c r="C3" s="27" t="n">
        <f aca="false">Assumptions!$B$34-0.005</f>
        <v>0.015</v>
      </c>
      <c r="D3" s="27" t="n">
        <f aca="false">Assumptions!$B$34-0.0025</f>
        <v>0.0175</v>
      </c>
      <c r="E3" s="27" t="n">
        <f aca="false">Assumptions!$B$34</f>
        <v>0.02</v>
      </c>
      <c r="F3" s="27" t="n">
        <f aca="false">Assumptions!$B$34+0.0025</f>
        <v>0.0225</v>
      </c>
      <c r="G3" s="27" t="n">
        <f aca="false">Assumptions!$B$34+0.005</f>
        <v>0.025</v>
      </c>
    </row>
    <row r="4" customFormat="false" ht="15" hidden="false" customHeight="false" outlineLevel="0" collapsed="false">
      <c r="A4" s="0" t="s">
        <v>102</v>
      </c>
      <c r="B4" s="28" t="n">
        <f aca="false">Assumptions!$B$45-0.01</f>
        <v>0.0585595526279523</v>
      </c>
      <c r="C4" s="9" t="n">
        <f aca="false">(SUMPRODUCT(DCF!$C$11:$G$11,(1+$B4)^(-DCF!$C$13:$G$13))+(DCF!$G$11*(1+C$3))/($B4-C$3)/(1+$B4)^5-Assumptions!$B$16)/Assumptions!$B$11</f>
        <v>33.0322217576166</v>
      </c>
      <c r="D4" s="9" t="n">
        <f aca="false">(SUMPRODUCT(DCF!$C$11:$G$11,(1+$B4)^(-DCF!$C$13:$G$13))+(DCF!$G$11*(1+D$3))/($B4-D$3)/(1+$B4)^5-Assumptions!$B$16)/Assumptions!$B$11</f>
        <v>35.2444888243193</v>
      </c>
      <c r="E4" s="9" t="n">
        <f aca="false">(SUMPRODUCT(DCF!$C$11:$G$11,(1+$B4)^(-DCF!$C$13:$G$13))+(DCF!$G$11*(1+E$3))/($B4-E$3)/(1+$B4)^5-Assumptions!$B$16)/Assumptions!$B$11</f>
        <v>37.7436195753662</v>
      </c>
      <c r="F4" s="9" t="n">
        <f aca="false">(SUMPRODUCT(DCF!$C$11:$G$11,(1+$B4)^(-DCF!$C$13:$G$13))+(DCF!$G$11*(1+F$3))/($B4-F$3)/(1+$B4)^5-Assumptions!$B$16)/Assumptions!$B$11</f>
        <v>40.5892785788336</v>
      </c>
      <c r="G4" s="9" t="n">
        <f aca="false">(SUMPRODUCT(DCF!$C$11:$G$11,(1+$B4)^(-DCF!$C$13:$G$13))+(DCF!$G$11*(1+G$3))/($B4-G$3)/(1+$B4)^5-Assumptions!$B$16)/Assumptions!$B$11</f>
        <v>43.8589091165785</v>
      </c>
    </row>
    <row r="5" customFormat="false" ht="15" hidden="false" customHeight="false" outlineLevel="0" collapsed="false">
      <c r="A5" s="0" t="s">
        <v>102</v>
      </c>
      <c r="B5" s="28" t="n">
        <f aca="false">Assumptions!$B$45-0.005</f>
        <v>0.0635595526279523</v>
      </c>
      <c r="C5" s="9" t="n">
        <f aca="false">(SUMPRODUCT(DCF!$C$11:$G$11,(1+$B5)^(-DCF!$C$13:$G$13))+(DCF!$G$11*(1+C$3))/($B5-C$3)/(1+$B5)^5-Assumptions!$B$16)/Assumptions!$B$11</f>
        <v>28.6072127212492</v>
      </c>
      <c r="D5" s="9" t="n">
        <f aca="false">(SUMPRODUCT(DCF!$C$11:$G$11,(1+$B5)^(-DCF!$C$13:$G$13))+(DCF!$G$11*(1+D$3))/($B5-D$3)/(1+$B5)^5-Assumptions!$B$16)/Assumptions!$B$11</f>
        <v>30.3432326949192</v>
      </c>
      <c r="E5" s="9" t="n">
        <f aca="false">(SUMPRODUCT(DCF!$C$11:$G$11,(1+$B5)^(-DCF!$C$13:$G$13))+(DCF!$G$11*(1+E$3))/($B5-E$3)/(1+$B5)^5-Assumptions!$B$16)/Assumptions!$B$11</f>
        <v>32.2785223888843</v>
      </c>
      <c r="F5" s="9" t="n">
        <f aca="false">(SUMPRODUCT(DCF!$C$11:$G$11,(1+$B5)^(-DCF!$C$13:$G$13))+(DCF!$G$11*(1+F$3))/($B5-F$3)/(1+$B5)^5-Assumptions!$B$16)/Assumptions!$B$11</f>
        <v>34.4494807117189</v>
      </c>
      <c r="G5" s="9" t="n">
        <f aca="false">(SUMPRODUCT(DCF!$C$11:$G$11,(1+$B5)^(-DCF!$C$13:$G$13))+(DCF!$G$11*(1+G$3))/($B5-G$3)/(1+$B5)^5-Assumptions!$B$16)/Assumptions!$B$11</f>
        <v>36.901946232495</v>
      </c>
    </row>
    <row r="6" customFormat="false" ht="15" hidden="false" customHeight="false" outlineLevel="0" collapsed="false">
      <c r="A6" s="0" t="s">
        <v>102</v>
      </c>
      <c r="B6" s="28" t="n">
        <f aca="false">Assumptions!$B$45</f>
        <v>0.0685595526279523</v>
      </c>
      <c r="C6" s="9" t="n">
        <f aca="false">(SUMPRODUCT(DCF!$C$11:$G$11,(1+$B6)^(-DCF!$C$13:$G$13))+(DCF!$G$11*(1+C$3))/($B6-C$3)/(1+$B6)^5-Assumptions!$B$16)/Assumptions!$B$11</f>
        <v>25.0085455719579</v>
      </c>
      <c r="D6" s="9" t="n">
        <f aca="false">(SUMPRODUCT(DCF!$C$11:$G$11,(1+$B6)^(-DCF!$C$13:$G$13))+(DCF!$G$11*(1+D$3))/($B6-D$3)/(1+$B6)^5-Assumptions!$B$16)/Assumptions!$B$11</f>
        <v>26.4019830591931</v>
      </c>
      <c r="E6" s="9" t="n">
        <f aca="false">(SUMPRODUCT(DCF!$C$11:$G$11,(1+$B6)^(-DCF!$C$13:$G$13))+(DCF!$G$11*(1+E$3))/($B6-E$3)/(1+$B6)^5-Assumptions!$B$16)/Assumptions!$B$11</f>
        <v>27.9388977215489</v>
      </c>
      <c r="F6" s="9" t="n">
        <f aca="false">(SUMPRODUCT(DCF!$C$11:$G$11,(1+$B6)^(-DCF!$C$13:$G$13))+(DCF!$G$11*(1+F$3))/($B6-F$3)/(1+$B6)^5-Assumptions!$B$16)/Assumptions!$B$11</f>
        <v>29.6426523307415</v>
      </c>
      <c r="G6" s="9" t="n">
        <f aca="false">(SUMPRODUCT(DCF!$C$11:$G$11,(1+$B6)^(-DCF!$C$13:$G$13))+(DCF!$G$11*(1+G$3))/($B6-G$3)/(1+$B6)^5-Assumptions!$B$16)/Assumptions!$B$11</f>
        <v>31.5419730679595</v>
      </c>
    </row>
    <row r="7" customFormat="false" ht="15" hidden="false" customHeight="false" outlineLevel="0" collapsed="false">
      <c r="A7" s="0" t="s">
        <v>102</v>
      </c>
      <c r="B7" s="28" t="n">
        <f aca="false">Assumptions!$B$45+0.005</f>
        <v>0.0735595526279523</v>
      </c>
      <c r="C7" s="9" t="n">
        <f aca="false">(SUMPRODUCT(DCF!$C$11:$G$11,(1+$B7)^(-DCF!$C$13:$G$13))+(DCF!$G$11*(1+C$3))/($B7-C$3)/(1+$B7)^5-Assumptions!$B$16)/Assumptions!$B$11</f>
        <v>22.0245499483935</v>
      </c>
      <c r="D7" s="9" t="n">
        <f aca="false">(SUMPRODUCT(DCF!$C$11:$G$11,(1+$B7)^(-DCF!$C$13:$G$13))+(DCF!$G$11*(1+D$3))/($B7-D$3)/(1+$B7)^5-Assumptions!$B$16)/Assumptions!$B$11</f>
        <v>23.1638665351693</v>
      </c>
      <c r="E7" s="9" t="n">
        <f aca="false">(SUMPRODUCT(DCF!$C$11:$G$11,(1+$B7)^(-DCF!$C$13:$G$13))+(DCF!$G$11*(1+E$3))/($B7-E$3)/(1+$B7)^5-Assumptions!$B$16)/Assumptions!$B$11</f>
        <v>24.4095429150048</v>
      </c>
      <c r="F7" s="9" t="n">
        <f aca="false">(SUMPRODUCT(DCF!$C$11:$G$11,(1+$B7)^(-DCF!$C$13:$G$13))+(DCF!$G$11*(1+F$3))/($B7-F$3)/(1+$B7)^5-Assumptions!$B$16)/Assumptions!$B$11</f>
        <v>25.7772019910962</v>
      </c>
      <c r="G7" s="9" t="n">
        <f aca="false">(SUMPRODUCT(DCF!$C$11:$G$11,(1+$B7)^(-DCF!$C$13:$G$13))+(DCF!$G$11*(1+G$3))/($B7-G$3)/(1+$B7)^5-Assumptions!$B$16)/Assumptions!$B$11</f>
        <v>27.2856839333464</v>
      </c>
    </row>
    <row r="8" customFormat="false" ht="15" hidden="false" customHeight="false" outlineLevel="0" collapsed="false">
      <c r="A8" s="0" t="s">
        <v>102</v>
      </c>
      <c r="B8" s="28" t="n">
        <f aca="false">Assumptions!$B$45+0.01</f>
        <v>0.0785595526279523</v>
      </c>
      <c r="C8" s="9" t="n">
        <f aca="false">(SUMPRODUCT(DCF!$C$11:$G$11,(1+$B8)^(-DCF!$C$13:$G$13))+(DCF!$G$11*(1+C$3))/($B8-C$3)/(1+$B8)^5-Assumptions!$B$16)/Assumptions!$B$11</f>
        <v>19.5101609410626</v>
      </c>
      <c r="D8" s="9" t="n">
        <f aca="false">(SUMPRODUCT(DCF!$C$11:$G$11,(1+$B8)^(-DCF!$C$13:$G$13))+(DCF!$G$11*(1+D$3))/($B8-D$3)/(1+$B8)^5-Assumptions!$B$16)/Assumptions!$B$11</f>
        <v>20.4561484292515</v>
      </c>
      <c r="E8" s="9" t="n">
        <f aca="false">(SUMPRODUCT(DCF!$C$11:$G$11,(1+$B8)^(-DCF!$C$13:$G$13))+(DCF!$G$11*(1+E$3))/($B8-E$3)/(1+$B8)^5-Assumptions!$B$16)/Assumptions!$B$11</f>
        <v>21.4829073241312</v>
      </c>
      <c r="F8" s="9" t="n">
        <f aca="false">(SUMPRODUCT(DCF!$C$11:$G$11,(1+$B8)^(-DCF!$C$13:$G$13))+(DCF!$G$11*(1+F$3))/($B8-F$3)/(1+$B8)^5-Assumptions!$B$16)/Assumptions!$B$11</f>
        <v>22.6012437331675</v>
      </c>
      <c r="G8" s="9" t="n">
        <f aca="false">(SUMPRODUCT(DCF!$C$11:$G$11,(1+$B8)^(-DCF!$C$13:$G$13))+(DCF!$G$11*(1+G$3))/($B8-G$3)/(1+$B8)^5-Assumptions!$B$16)/Assumptions!$B$11</f>
        <v>23.8239813511539</v>
      </c>
    </row>
    <row r="10" customFormat="false" ht="15" hidden="false" customHeight="false" outlineLevel="0" collapsed="false">
      <c r="A10" s="16" t="s">
        <v>103</v>
      </c>
      <c r="B10" s="16"/>
      <c r="C10" s="16"/>
      <c r="D10" s="16"/>
      <c r="E10" s="16"/>
      <c r="F10" s="16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2026-09-02T20:53:19Z</dcterms:created>
  <dc:creator>openpyxl</dc:creator>
  <dc:description/>
  <dc:language>en-US</dc:language>
  <cp:lastModifiedBy/>
  <dcterms:modified xsi:type="dcterms:W3CDTF">2026-09-02T20:53:19Z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